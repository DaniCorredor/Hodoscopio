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I:\MICROMECANICA\ALTAS ENERGIAS\Deteccion de Muones\Detectores centelladores\Partes Detectores centelladores\Chasis DC\Anexos Chasis DC\"/>
    </mc:Choice>
  </mc:AlternateContent>
  <xr:revisionPtr revIDLastSave="0" documentId="13_ncr:1_{67FC32F9-9B93-4566-90D2-D3DB74E236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1" l="1"/>
  <c r="M30" i="1"/>
  <c r="M25" i="1" l="1"/>
  <c r="M26" i="1"/>
  <c r="M29" i="1"/>
  <c r="M28" i="1"/>
  <c r="M27" i="1"/>
  <c r="R18" i="1"/>
  <c r="R4" i="1"/>
  <c r="R9" i="1"/>
  <c r="R23" i="1"/>
  <c r="R21" i="1"/>
  <c r="R22" i="1"/>
  <c r="R8" i="1"/>
  <c r="R7" i="1"/>
  <c r="S22" i="1"/>
  <c r="S21" i="1"/>
  <c r="S19" i="1"/>
  <c r="S20" i="1"/>
  <c r="S17" i="1"/>
  <c r="R20" i="1"/>
  <c r="R5" i="1"/>
  <c r="R19" i="1" s="1"/>
  <c r="R3" i="1"/>
  <c r="Q3" i="1"/>
  <c r="R17" i="1" s="1"/>
  <c r="L22" i="1"/>
  <c r="L21" i="1"/>
  <c r="L23" i="1"/>
  <c r="L24" i="1" s="1"/>
  <c r="K19" i="1"/>
  <c r="K18" i="1"/>
  <c r="K21" i="1" s="1"/>
  <c r="L12" i="1"/>
  <c r="L11" i="1"/>
  <c r="L10" i="1"/>
  <c r="L9" i="1"/>
  <c r="K7" i="1"/>
  <c r="K6" i="1"/>
  <c r="K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David Castellanos Quevedo</author>
  </authors>
  <commentList>
    <comment ref="K9" authorId="0" shapeId="0" xr:uid="{7DBE5B51-CED5-490A-966E-943F8B7DDA6F}">
      <text>
        <r>
          <rPr>
            <b/>
            <sz val="9"/>
            <color indexed="81"/>
            <rFont val="Tahoma"/>
            <family val="2"/>
          </rPr>
          <t>Total perfil 45x90</t>
        </r>
      </text>
    </comment>
    <comment ref="L12" authorId="0" shapeId="0" xr:uid="{DE905174-D652-4425-A5C0-6180649961A1}">
      <text>
        <r>
          <rPr>
            <b/>
            <sz val="9"/>
            <color indexed="81"/>
            <rFont val="Tahoma"/>
            <family val="2"/>
          </rPr>
          <t xml:space="preserve">total perfil 45x45 </t>
        </r>
      </text>
    </comment>
    <comment ref="K21" authorId="0" shapeId="0" xr:uid="{7BF4255E-1638-4737-9319-C5A3D1DCF402}">
      <text>
        <r>
          <rPr>
            <b/>
            <sz val="9"/>
            <color indexed="81"/>
            <rFont val="Tahoma"/>
            <family val="2"/>
          </rPr>
          <t xml:space="preserve">Total perfil 45x90
</t>
        </r>
      </text>
    </comment>
    <comment ref="L24" authorId="0" shapeId="0" xr:uid="{DA03780B-7A3B-4521-BACD-D8859563594D}">
      <text>
        <r>
          <rPr>
            <b/>
            <sz val="9"/>
            <color indexed="81"/>
            <rFont val="Tahoma"/>
            <family val="2"/>
          </rPr>
          <t>Total perfil 45x45</t>
        </r>
      </text>
    </comment>
  </commentList>
</comments>
</file>

<file path=xl/sharedStrings.xml><?xml version="1.0" encoding="utf-8"?>
<sst xmlns="http://schemas.openxmlformats.org/spreadsheetml/2006/main" count="102" uniqueCount="52">
  <si>
    <t xml:space="preserve">Materiales en Stock </t>
  </si>
  <si>
    <t xml:space="preserve">longitud </t>
  </si>
  <si>
    <t xml:space="preserve">Perfil </t>
  </si>
  <si>
    <t>45x90</t>
  </si>
  <si>
    <t>2m</t>
  </si>
  <si>
    <t>1m</t>
  </si>
  <si>
    <t>3m</t>
  </si>
  <si>
    <t>5m</t>
  </si>
  <si>
    <t>45x45</t>
  </si>
  <si>
    <t>6m (3)</t>
  </si>
  <si>
    <t>1,5m(2)</t>
  </si>
  <si>
    <t xml:space="preserve">Materiales Requeridos </t>
  </si>
  <si>
    <t>0,72 m (4)</t>
  </si>
  <si>
    <t xml:space="preserve">conexión lateral </t>
  </si>
  <si>
    <t xml:space="preserve">referencia </t>
  </si>
  <si>
    <t xml:space="preserve">pagina </t>
  </si>
  <si>
    <t>0.500.001.641</t>
  </si>
  <si>
    <t>0.500.001.176</t>
  </si>
  <si>
    <t xml:space="preserve">escuadras con tornillos e insertos </t>
  </si>
  <si>
    <t>1,41 m(4)</t>
  </si>
  <si>
    <t>1 m(4)</t>
  </si>
  <si>
    <t>0,91 (8)</t>
  </si>
  <si>
    <t xml:space="preserve">0,81m(8) </t>
  </si>
  <si>
    <t>0,72m (2)</t>
  </si>
  <si>
    <t xml:space="preserve">insertos </t>
  </si>
  <si>
    <t>0.500.001.613</t>
  </si>
  <si>
    <t xml:space="preserve">se requieren 8 m de perfil 45x90 </t>
  </si>
  <si>
    <t>Se requieren 6m de perfil 45x45</t>
  </si>
  <si>
    <t>1,91 m(4)</t>
  </si>
  <si>
    <t>0,91 (10)</t>
  </si>
  <si>
    <t xml:space="preserve">0,81m(10) </t>
  </si>
  <si>
    <t>https://www.amazon.com/-/es/fijaci%C3%B3n-martillo-deslizante-extrusi%C3%B3n-aluminio/dp/B08ZNHJ5N6/ref=sr_1_28?__mk_es_US=%C3%85M%C3%85%C5%BD%C3%95%C3%91&amp;crid=1RZAFS3S10HXL&amp;dib=eyJ2IjoiMSJ9.eswAoGEXrE5r0ZLZOTBfcXZCbWgD3vjQC9gp0oZpwm7FEnVIwgeWAo5ybW2PfXPvp9wcMt1CIWXdvDVur-aDa0wvDWRrqt_t6lLiTCV7WGTlpKECAXYk-QLBjjlHjVWzX3b6olms-CW6VDXByjoC6Uw6rjfihOcq7PccsZ6aMt34xIN38kRNpXemAhMqnIhg.v8dduUSeunf2nMoKQkHYjbaqPkeW5GAvlKHbfyDWrrA&amp;dib_tag=se&amp;keywords=perfil%2Bextruido%2Baluminio%2B4545&amp;qid=1750794529&amp;sprefix=perfil%2Bextruido%2Baluminio%2B4545%2Caps%2C120&amp;sr=8-28&amp;xpid=Ze8Lm1EfNJBLR&amp;th=1</t>
  </si>
  <si>
    <t xml:space="preserve">Amazon </t>
  </si>
  <si>
    <t xml:space="preserve">elemento </t>
  </si>
  <si>
    <t xml:space="preserve">Tuerca en T </t>
  </si>
  <si>
    <t xml:space="preserve">escuadra </t>
  </si>
  <si>
    <t>https://www.amazon.com/-/es/escudete-interior-conectores-3-465x3-465x1-654-extrusi%C3%B3n/dp/B0BS8CKHYV/ref=sr_1_19?__mk_es_US=%C3%85M%C3%85%C5%BD%C3%95%C3%91&amp;crid=1YBIU5F62Q43A&amp;dib=eyJ2IjoiMSJ9.Cub7JpeuWPu8vf20HLYWlKijGZi63w9XgWTMvWO9du8LrHy8OKUodXeqoQ0TpH2SqglHCna3nFCUWfPFtKTKtzakmRt75DQ-W9TKfhhXFztEXcDftHYrigFA9W_iqB8R6Vt-DN4H73Wqtdd1q6zmPYH9jgtQSbzwUnWux-EeXEL8b6lAiv5UIFZbd3YmYD3kijCsX1KhOKGWJSnvf_JdsnEKNxuw2JmzAWtwHFi2ETs.YrKkRLxFVO5clxxpHVwoBw1EG4-6-F65JM9YRWZ5jkY&amp;dib_tag=se&amp;keywords=perfil+aluminio+serie+4545&amp;qid=1750798059&amp;sprefix=perfil+aluminio+serie+4545%2Caps%2C128&amp;sr=8-19</t>
  </si>
  <si>
    <t>https://www.amazon.com/-/es/tuercas-resorte-extrusi%C3%B3n-aluminio-impresora/dp/B09G2NWJCG/ref=sr_1_24?__mk_es_US=%C3%85M%C3%85%C5%BD%C3%95%C3%91&amp;crid=1YBIU5F62Q43A&amp;dib=eyJ2IjoiMSJ9.9sZ-0WrlzGQvUoukTpNEysAG8lJhTV3Gpwvhnrj5ga96twN03HlQ5_VymBZKkg4J8SuRI_LT2XMt8NJsm4e5wCbszjP6uyeVTY0--G9Itf_Dyvgyt7Ipdyx3Vm4gIhQi7gHcbwcFz4UR4g25bs4sFEuJiseYdV0oc-4Bcubtw66ZO7n3Zjp7kPQRgUJDO8ht.IC83VqvQjdXvI0HnyQrP_6588z21pJYtRKkalWyTCYM&amp;dib_tag=se&amp;keywords=perfil%2Baluminio%2Bserie%2B4545&amp;qid=1750798135&amp;sprefix=perfil%2Baluminio%2Bserie%2B4545%2Caps%2C128&amp;sr=8-24&amp;xpid=U9XI56LtqVXSt&amp;th=1</t>
  </si>
  <si>
    <t xml:space="preserve">Insertos </t>
  </si>
  <si>
    <t>Se requieren 12 m de perfil 45x90</t>
  </si>
  <si>
    <t xml:space="preserve">Perfileria </t>
  </si>
  <si>
    <t xml:space="preserve">Conexión lateral </t>
  </si>
  <si>
    <t xml:space="preserve">Tornillos </t>
  </si>
  <si>
    <t xml:space="preserve">Total </t>
  </si>
  <si>
    <t xml:space="preserve">Arandelas </t>
  </si>
  <si>
    <t xml:space="preserve">Acrilico </t>
  </si>
  <si>
    <t>Acilico</t>
  </si>
  <si>
    <t xml:space="preserve">escuadras grandes </t>
  </si>
  <si>
    <t xml:space="preserve">escruadras planas </t>
  </si>
  <si>
    <t xml:space="preserve">T plana </t>
  </si>
  <si>
    <t xml:space="preserve">escuadras pequeñas </t>
  </si>
  <si>
    <t xml:space="preserve">arandelas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</si>
</sst>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0" xfId="0" applyFill="1"/>
    <xf numFmtId="0" fontId="0" fillId="6" borderId="0" xfId="0" applyFill="1"/>
    <xf numFmtId="0" fontId="0" fillId="3" borderId="0" xfId="0" applyFill="1"/>
    <xf numFmtId="164" fontId="0" fillId="0" borderId="0" xfId="0" applyNumberFormat="1"/>
    <xf numFmtId="165" fontId="0" fillId="0" borderId="0" xfId="1" applyNumberFormat="1" applyFont="1"/>
    <xf numFmtId="8" fontId="0" fillId="0" borderId="0" xfId="0" applyNumberFormat="1"/>
    <xf numFmtId="6" fontId="0" fillId="0" borderId="0" xfId="0" applyNumberFormat="1"/>
    <xf numFmtId="165" fontId="0" fillId="0" borderId="0" xfId="0" applyNumberFormat="1"/>
    <xf numFmtId="165" fontId="0" fillId="2" borderId="0" xfId="0" applyNumberFormat="1" applyFill="1"/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T33"/>
  <sheetViews>
    <sheetView tabSelected="1" topLeftCell="B1" workbookViewId="0">
      <selection activeCell="S30" sqref="S30"/>
    </sheetView>
  </sheetViews>
  <sheetFormatPr baseColWidth="10" defaultColWidth="9.140625" defaultRowHeight="15" x14ac:dyDescent="0.25"/>
  <cols>
    <col min="4" max="6" width="18.85546875" hidden="1" customWidth="1"/>
    <col min="7" max="7" width="31.140625" bestFit="1" customWidth="1"/>
    <col min="8" max="8" width="14.42578125" customWidth="1"/>
    <col min="9" max="9" width="13.7109375" bestFit="1" customWidth="1"/>
    <col min="14" max="14" width="30.140625" hidden="1" customWidth="1"/>
    <col min="15" max="15" width="0" hidden="1" customWidth="1"/>
    <col min="16" max="16" width="13.140625" hidden="1" customWidth="1"/>
    <col min="17" max="17" width="13" hidden="1" customWidth="1"/>
    <col min="18" max="18" width="12" bestFit="1" customWidth="1"/>
    <col min="19" max="19" width="16.140625" bestFit="1" customWidth="1"/>
  </cols>
  <sheetData>
    <row r="3" spans="4:19" ht="15.75" thickBot="1" x14ac:dyDescent="0.3">
      <c r="N3" t="s">
        <v>26</v>
      </c>
      <c r="P3" s="16">
        <v>1936012</v>
      </c>
      <c r="Q3" s="17">
        <f>+P3/6</f>
        <v>322668.66666666669</v>
      </c>
      <c r="R3" s="17">
        <f>+Q3*8</f>
        <v>2581349.3333333335</v>
      </c>
      <c r="S3" t="s">
        <v>40</v>
      </c>
    </row>
    <row r="4" spans="4:19" x14ac:dyDescent="0.25">
      <c r="D4" s="23" t="s">
        <v>0</v>
      </c>
      <c r="E4" s="24"/>
      <c r="F4" s="3"/>
      <c r="G4" s="24" t="s">
        <v>11</v>
      </c>
      <c r="H4" s="24"/>
      <c r="I4" s="3" t="s">
        <v>14</v>
      </c>
      <c r="J4" s="7" t="s">
        <v>15</v>
      </c>
      <c r="N4" t="s">
        <v>27</v>
      </c>
      <c r="Q4" s="17">
        <v>300000</v>
      </c>
      <c r="R4" s="17">
        <f>+Q4*5</f>
        <v>1500000</v>
      </c>
      <c r="S4" t="s">
        <v>45</v>
      </c>
    </row>
    <row r="5" spans="4:19" x14ac:dyDescent="0.25">
      <c r="D5" s="5" t="s">
        <v>2</v>
      </c>
      <c r="E5" s="2" t="s">
        <v>1</v>
      </c>
      <c r="F5" s="2"/>
      <c r="G5" s="2" t="s">
        <v>2</v>
      </c>
      <c r="H5" s="2" t="s">
        <v>1</v>
      </c>
      <c r="I5" s="2"/>
      <c r="J5" s="8"/>
      <c r="Q5" s="18">
        <v>158201.64000000001</v>
      </c>
      <c r="R5" s="18">
        <f>+Q5*4</f>
        <v>632806.56000000006</v>
      </c>
      <c r="S5" t="s">
        <v>41</v>
      </c>
    </row>
    <row r="6" spans="4:19" x14ac:dyDescent="0.25">
      <c r="D6" s="5" t="s">
        <v>3</v>
      </c>
      <c r="E6" s="2" t="s">
        <v>4</v>
      </c>
      <c r="F6" s="2"/>
      <c r="G6" s="12" t="s">
        <v>3</v>
      </c>
      <c r="H6" s="2" t="s">
        <v>19</v>
      </c>
      <c r="I6" s="2"/>
      <c r="J6" s="8"/>
      <c r="K6">
        <f>1.41*4</f>
        <v>5.64</v>
      </c>
      <c r="R6" s="17">
        <v>250000</v>
      </c>
      <c r="S6" t="s">
        <v>38</v>
      </c>
    </row>
    <row r="7" spans="4:19" x14ac:dyDescent="0.25">
      <c r="D7" s="5" t="s">
        <v>3</v>
      </c>
      <c r="E7" s="2" t="s">
        <v>5</v>
      </c>
      <c r="F7" s="2"/>
      <c r="G7" s="11" t="s">
        <v>3</v>
      </c>
      <c r="H7" s="2" t="s">
        <v>12</v>
      </c>
      <c r="I7" s="2"/>
      <c r="J7" s="8"/>
      <c r="K7">
        <f>0.72*4</f>
        <v>2.88</v>
      </c>
      <c r="Q7" s="17">
        <v>350</v>
      </c>
      <c r="R7" s="17">
        <f>+Q7*150</f>
        <v>52500</v>
      </c>
      <c r="S7" t="s">
        <v>42</v>
      </c>
    </row>
    <row r="8" spans="4:19" x14ac:dyDescent="0.25">
      <c r="D8" s="5" t="s">
        <v>3</v>
      </c>
      <c r="E8" s="11" t="s">
        <v>6</v>
      </c>
      <c r="F8" s="2"/>
      <c r="G8" s="2" t="s">
        <v>3</v>
      </c>
      <c r="H8" s="2" t="s">
        <v>20</v>
      </c>
      <c r="I8" s="2"/>
      <c r="J8" s="8"/>
      <c r="K8">
        <v>4</v>
      </c>
      <c r="Q8" s="17">
        <v>200</v>
      </c>
      <c r="R8" s="17">
        <f>+Q8*150</f>
        <v>30000</v>
      </c>
      <c r="S8" t="s">
        <v>44</v>
      </c>
    </row>
    <row r="9" spans="4:19" x14ac:dyDescent="0.25">
      <c r="D9" s="5" t="s">
        <v>3</v>
      </c>
      <c r="E9" s="12" t="s">
        <v>10</v>
      </c>
      <c r="F9" s="2"/>
      <c r="G9" s="2" t="s">
        <v>8</v>
      </c>
      <c r="H9" s="2" t="s">
        <v>21</v>
      </c>
      <c r="I9" s="2"/>
      <c r="J9" s="8"/>
      <c r="K9" s="13">
        <f>+K6+K8+K7</f>
        <v>12.52</v>
      </c>
      <c r="L9">
        <f>0.91*8</f>
        <v>7.28</v>
      </c>
      <c r="R9" s="21">
        <f>+SUM(R3:R8)</f>
        <v>5046655.8933333335</v>
      </c>
      <c r="S9" s="13" t="s">
        <v>43</v>
      </c>
    </row>
    <row r="10" spans="4:19" x14ac:dyDescent="0.25">
      <c r="D10" s="5" t="s">
        <v>3</v>
      </c>
      <c r="E10" s="2" t="s">
        <v>7</v>
      </c>
      <c r="F10" s="2"/>
      <c r="G10" s="2" t="s">
        <v>8</v>
      </c>
      <c r="H10" s="2" t="s">
        <v>22</v>
      </c>
      <c r="I10" s="2"/>
      <c r="J10" s="8"/>
      <c r="L10">
        <f>0.81*8</f>
        <v>6.48</v>
      </c>
    </row>
    <row r="11" spans="4:19" x14ac:dyDescent="0.25">
      <c r="D11" s="5" t="s">
        <v>8</v>
      </c>
      <c r="E11" s="2" t="s">
        <v>9</v>
      </c>
      <c r="F11" s="2"/>
      <c r="G11" s="2" t="s">
        <v>8</v>
      </c>
      <c r="H11" s="2" t="s">
        <v>23</v>
      </c>
      <c r="I11" s="2"/>
      <c r="J11" s="8"/>
      <c r="L11">
        <f>0.72*2</f>
        <v>1.44</v>
      </c>
    </row>
    <row r="12" spans="4:19" x14ac:dyDescent="0.25">
      <c r="D12" s="4"/>
      <c r="E12" s="1"/>
      <c r="F12" s="1"/>
      <c r="G12" s="2" t="s">
        <v>13</v>
      </c>
      <c r="H12" s="2">
        <v>40</v>
      </c>
      <c r="I12" s="2" t="s">
        <v>16</v>
      </c>
      <c r="J12" s="8">
        <v>18</v>
      </c>
      <c r="L12" s="14">
        <f>+L9+L10+L11</f>
        <v>15.200000000000001</v>
      </c>
    </row>
    <row r="13" spans="4:19" x14ac:dyDescent="0.25">
      <c r="D13" s="4"/>
      <c r="E13" s="1"/>
      <c r="F13" s="1"/>
      <c r="G13" s="2" t="s">
        <v>24</v>
      </c>
      <c r="H13" s="2">
        <v>150</v>
      </c>
      <c r="I13" s="1" t="s">
        <v>25</v>
      </c>
      <c r="J13" s="8">
        <v>21</v>
      </c>
    </row>
    <row r="14" spans="4:19" ht="15.75" thickBot="1" x14ac:dyDescent="0.3">
      <c r="D14" s="9"/>
      <c r="E14" s="6"/>
      <c r="F14" s="6"/>
      <c r="G14" s="6" t="s">
        <v>18</v>
      </c>
      <c r="H14" s="6">
        <v>60</v>
      </c>
      <c r="I14" s="6" t="s">
        <v>17</v>
      </c>
      <c r="J14" s="10">
        <v>22</v>
      </c>
    </row>
    <row r="15" spans="4:19" ht="15.75" thickBot="1" x14ac:dyDescent="0.3"/>
    <row r="16" spans="4:19" x14ac:dyDescent="0.25">
      <c r="D16" s="23" t="s">
        <v>0</v>
      </c>
      <c r="E16" s="24"/>
      <c r="F16" s="3"/>
      <c r="G16" s="24" t="s">
        <v>11</v>
      </c>
      <c r="H16" s="24"/>
      <c r="I16" s="3" t="s">
        <v>14</v>
      </c>
      <c r="J16" s="7" t="s">
        <v>15</v>
      </c>
    </row>
    <row r="17" spans="4:20" x14ac:dyDescent="0.25">
      <c r="D17" s="5" t="s">
        <v>2</v>
      </c>
      <c r="E17" s="2" t="s">
        <v>1</v>
      </c>
      <c r="F17" s="2"/>
      <c r="G17" s="2" t="s">
        <v>2</v>
      </c>
      <c r="H17" s="2" t="s">
        <v>1</v>
      </c>
      <c r="I17" s="2"/>
      <c r="J17" s="8"/>
      <c r="N17" t="s">
        <v>39</v>
      </c>
      <c r="R17" s="17">
        <f>+Q3*12</f>
        <v>3872024</v>
      </c>
      <c r="S17" t="str">
        <f>+S3</f>
        <v xml:space="preserve">Perfileria </v>
      </c>
    </row>
    <row r="18" spans="4:20" x14ac:dyDescent="0.25">
      <c r="D18" s="5" t="s">
        <v>3</v>
      </c>
      <c r="E18" s="2" t="s">
        <v>4</v>
      </c>
      <c r="F18" s="2"/>
      <c r="G18" s="2" t="s">
        <v>3</v>
      </c>
      <c r="H18" s="2" t="s">
        <v>28</v>
      </c>
      <c r="I18" s="2"/>
      <c r="J18" s="8"/>
      <c r="K18">
        <f>1.91*4</f>
        <v>7.64</v>
      </c>
      <c r="N18" t="s">
        <v>27</v>
      </c>
      <c r="R18" s="20">
        <f>+R4</f>
        <v>1500000</v>
      </c>
      <c r="S18" t="s">
        <v>46</v>
      </c>
    </row>
    <row r="19" spans="4:20" x14ac:dyDescent="0.25">
      <c r="D19" s="5" t="s">
        <v>3</v>
      </c>
      <c r="E19" s="2" t="s">
        <v>5</v>
      </c>
      <c r="F19" s="2"/>
      <c r="G19" s="2" t="s">
        <v>3</v>
      </c>
      <c r="H19" s="2" t="s">
        <v>12</v>
      </c>
      <c r="I19" s="2"/>
      <c r="J19" s="8"/>
      <c r="K19">
        <f>0.72*4</f>
        <v>2.88</v>
      </c>
      <c r="R19" s="19">
        <f>+R5</f>
        <v>632806.56000000006</v>
      </c>
      <c r="S19" t="str">
        <f t="shared" ref="S19:S22" si="0">+S5</f>
        <v xml:space="preserve">Conexión lateral </v>
      </c>
    </row>
    <row r="20" spans="4:20" x14ac:dyDescent="0.25">
      <c r="D20" s="5" t="s">
        <v>3</v>
      </c>
      <c r="E20" s="2" t="s">
        <v>6</v>
      </c>
      <c r="F20" s="2"/>
      <c r="G20" s="2" t="s">
        <v>3</v>
      </c>
      <c r="H20" s="2" t="s">
        <v>20</v>
      </c>
      <c r="I20" s="2"/>
      <c r="J20" s="8"/>
      <c r="K20">
        <v>4</v>
      </c>
      <c r="R20" s="19">
        <f>+R6</f>
        <v>250000</v>
      </c>
      <c r="S20" t="str">
        <f t="shared" si="0"/>
        <v xml:space="preserve">Insertos </v>
      </c>
    </row>
    <row r="21" spans="4:20" x14ac:dyDescent="0.25">
      <c r="D21" s="5" t="s">
        <v>3</v>
      </c>
      <c r="E21" s="2" t="s">
        <v>10</v>
      </c>
      <c r="F21" s="2"/>
      <c r="G21" s="2" t="s">
        <v>8</v>
      </c>
      <c r="H21" s="2" t="s">
        <v>29</v>
      </c>
      <c r="I21" s="2"/>
      <c r="J21" s="8"/>
      <c r="K21" s="13">
        <f>+K18+K19+K20</f>
        <v>14.52</v>
      </c>
      <c r="L21">
        <f>0.91*10</f>
        <v>9.1</v>
      </c>
      <c r="R21" s="19">
        <f t="shared" ref="R21:R22" si="1">+R7</f>
        <v>52500</v>
      </c>
      <c r="S21" t="str">
        <f t="shared" si="0"/>
        <v xml:space="preserve">Tornillos </v>
      </c>
    </row>
    <row r="22" spans="4:20" x14ac:dyDescent="0.25">
      <c r="D22" s="5" t="s">
        <v>3</v>
      </c>
      <c r="E22" s="2" t="s">
        <v>7</v>
      </c>
      <c r="F22" s="2"/>
      <c r="G22" s="2" t="s">
        <v>8</v>
      </c>
      <c r="H22" s="2" t="s">
        <v>30</v>
      </c>
      <c r="I22" s="2"/>
      <c r="J22" s="8"/>
      <c r="L22">
        <f>0.81*10</f>
        <v>8.1000000000000014</v>
      </c>
      <c r="R22" s="19">
        <f t="shared" si="1"/>
        <v>30000</v>
      </c>
      <c r="S22" t="str">
        <f t="shared" si="0"/>
        <v xml:space="preserve">Arandelas </v>
      </c>
    </row>
    <row r="23" spans="4:20" x14ac:dyDescent="0.25">
      <c r="D23" s="5" t="s">
        <v>8</v>
      </c>
      <c r="E23" s="2" t="s">
        <v>9</v>
      </c>
      <c r="F23" s="2"/>
      <c r="G23" s="2" t="s">
        <v>8</v>
      </c>
      <c r="H23" s="2" t="s">
        <v>23</v>
      </c>
      <c r="I23" s="2"/>
      <c r="J23" s="8"/>
      <c r="L23">
        <f>0.72*2</f>
        <v>1.44</v>
      </c>
      <c r="R23" s="21">
        <f>+SUM(R17:R22)</f>
        <v>6337330.5600000005</v>
      </c>
      <c r="S23" s="13" t="s">
        <v>43</v>
      </c>
    </row>
    <row r="24" spans="4:20" x14ac:dyDescent="0.25">
      <c r="D24" s="4"/>
      <c r="E24" s="1"/>
      <c r="F24" s="1"/>
      <c r="G24" s="2" t="s">
        <v>13</v>
      </c>
      <c r="H24" s="2">
        <v>35</v>
      </c>
      <c r="I24" s="2" t="s">
        <v>16</v>
      </c>
      <c r="J24" s="8">
        <v>18</v>
      </c>
      <c r="L24" s="15">
        <f>+L21+L22+L23</f>
        <v>18.640000000000004</v>
      </c>
    </row>
    <row r="25" spans="4:20" x14ac:dyDescent="0.25">
      <c r="D25" s="4"/>
      <c r="E25" s="1"/>
      <c r="F25" s="1"/>
      <c r="G25" s="2" t="s">
        <v>24</v>
      </c>
      <c r="H25" s="2">
        <v>150</v>
      </c>
      <c r="I25" s="1" t="s">
        <v>25</v>
      </c>
      <c r="J25" s="8">
        <v>21</v>
      </c>
      <c r="M25">
        <f>+H25</f>
        <v>150</v>
      </c>
    </row>
    <row r="26" spans="4:20" ht="15.75" thickBot="1" x14ac:dyDescent="0.3">
      <c r="D26" s="9"/>
      <c r="E26" s="6"/>
      <c r="F26" s="6"/>
      <c r="G26" s="6" t="s">
        <v>47</v>
      </c>
      <c r="H26" s="6">
        <v>42</v>
      </c>
      <c r="I26" s="6" t="s">
        <v>17</v>
      </c>
      <c r="J26" s="10">
        <v>22</v>
      </c>
      <c r="M26">
        <f>+H26*4</f>
        <v>168</v>
      </c>
    </row>
    <row r="27" spans="4:20" x14ac:dyDescent="0.25">
      <c r="G27" s="22" t="s">
        <v>48</v>
      </c>
      <c r="H27" s="22">
        <v>10</v>
      </c>
      <c r="M27">
        <f>+H27*5</f>
        <v>50</v>
      </c>
    </row>
    <row r="28" spans="4:20" x14ac:dyDescent="0.25">
      <c r="G28" s="22" t="s">
        <v>49</v>
      </c>
      <c r="H28" s="22">
        <v>10</v>
      </c>
      <c r="M28">
        <f>+H28*5</f>
        <v>50</v>
      </c>
    </row>
    <row r="29" spans="4:20" x14ac:dyDescent="0.25">
      <c r="G29" s="22" t="s">
        <v>50</v>
      </c>
      <c r="H29" s="22">
        <v>20</v>
      </c>
      <c r="M29">
        <f>+H29*2</f>
        <v>40</v>
      </c>
      <c r="S29" s="25">
        <f>+M25+M26</f>
        <v>318</v>
      </c>
      <c r="T29" s="25" t="s">
        <v>24</v>
      </c>
    </row>
    <row r="30" spans="4:20" x14ac:dyDescent="0.25">
      <c r="E30" t="s">
        <v>33</v>
      </c>
      <c r="F30" t="s">
        <v>32</v>
      </c>
      <c r="M30" s="25">
        <f>+M25+M26</f>
        <v>318</v>
      </c>
      <c r="N30" s="25"/>
      <c r="O30" s="25"/>
      <c r="P30" s="25"/>
      <c r="Q30" s="25"/>
      <c r="R30" s="25" t="s">
        <v>51</v>
      </c>
    </row>
    <row r="31" spans="4:20" x14ac:dyDescent="0.25">
      <c r="E31" t="s">
        <v>34</v>
      </c>
      <c r="F31" t="s">
        <v>31</v>
      </c>
    </row>
    <row r="32" spans="4:20" x14ac:dyDescent="0.25">
      <c r="E32" t="s">
        <v>35</v>
      </c>
      <c r="F32" t="s">
        <v>36</v>
      </c>
    </row>
    <row r="33" spans="5:6" x14ac:dyDescent="0.25">
      <c r="E33" t="s">
        <v>38</v>
      </c>
      <c r="F33" t="s">
        <v>37</v>
      </c>
    </row>
  </sheetData>
  <mergeCells count="4">
    <mergeCell ref="D4:E4"/>
    <mergeCell ref="G4:H4"/>
    <mergeCell ref="D16:E16"/>
    <mergeCell ref="G16:H16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 Castellanos Quevedo</dc:creator>
  <cp:lastModifiedBy>Jonathan David Castellanos Quevedo</cp:lastModifiedBy>
  <dcterms:created xsi:type="dcterms:W3CDTF">2015-06-05T18:17:20Z</dcterms:created>
  <dcterms:modified xsi:type="dcterms:W3CDTF">2025-07-04T20:00:30Z</dcterms:modified>
</cp:coreProperties>
</file>