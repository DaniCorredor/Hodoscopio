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I:\MICROMECANICA\ALTAS ENERGIAS\Deteccion de Muones\Detectores centelladores\Partes Detectores centelladores\Chasis DC\Anexos Chasis DC\"/>
    </mc:Choice>
  </mc:AlternateContent>
  <xr:revisionPtr revIDLastSave="0" documentId="13_ncr:1_{B51881EB-A126-4904-8F1F-B5D9B5693E66}" xr6:coauthVersionLast="47" xr6:coauthVersionMax="47" xr10:uidLastSave="{00000000-0000-0000-0000-000000000000}"/>
  <bookViews>
    <workbookView xWindow="-120" yWindow="-120" windowWidth="29040" windowHeight="15720" activeTab="1" xr2:uid="{3045BE32-FECA-48B5-9AF0-ED3C550E4361}"/>
  </bookViews>
  <sheets>
    <sheet name="Amazon " sheetId="1" r:id="rId1"/>
    <sheet name="Compras nacion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H4" i="1"/>
  <c r="H7" i="1" s="1"/>
  <c r="H5" i="1"/>
  <c r="H6" i="1"/>
  <c r="H3" i="1" l="1"/>
</calcChain>
</file>

<file path=xl/sharedStrings.xml><?xml version="1.0" encoding="utf-8"?>
<sst xmlns="http://schemas.openxmlformats.org/spreadsheetml/2006/main" count="36" uniqueCount="33">
  <si>
    <t>ITEM</t>
  </si>
  <si>
    <t>DESCRIPCION</t>
  </si>
  <si>
    <t>PRESENTACIÓN</t>
  </si>
  <si>
    <t>CANT</t>
  </si>
  <si>
    <t>MARCA</t>
  </si>
  <si>
    <t>ENLACE AMAZON</t>
  </si>
  <si>
    <t>ZORVEIIO</t>
  </si>
  <si>
    <t>Juego</t>
  </si>
  <si>
    <t>Pack X50</t>
  </si>
  <si>
    <t>Pack X100</t>
  </si>
  <si>
    <t>PRECIO US</t>
  </si>
  <si>
    <t xml:space="preserve"> PRECIO TOTAL US</t>
  </si>
  <si>
    <t>100 arandelas de bloqueo M8</t>
  </si>
  <si>
    <t>INSTOCKBOLTS</t>
  </si>
  <si>
    <t>https://www.amazon.com/-/es/Zorveiio-tuercas-carbono-ranura-aluminio/dp/B0C9D2CMBZ/ref=sr_1_1?crid=12H7O80KY13X9&amp;dib=eyJ2IjoiMSJ9.DEbcJ0kl9JbGANyslr5oalnAyEmXbPkN2lziabQBaQcOqZSOpxtU7WC5Hj9c-YO-a85lpeukG0O8pCarE2VMWOYdSHlnx4eSZsKRT8JAiJ1f96-vCft-THLxhirs4B_J8PI-cPuNCflMUjt83plghHgAxYnZm4Ha2CkgMqak8TO0Iv-LptmcztBm6nEpj_agtdmT71wgLc62NVLu_49d83YcgLSr22gLBxucCi9fPCk.obHCsRrKhEKaxl8PGvYKEP84W8EWLOlg6U1oB6kXKBM&amp;dib_tag=se&amp;keywords=tuercas%2Bde%2Branura%2Ben%2Bt%2Bm8%2Bde%2B20%2Bpiezas%2C%2Btuercas%2Bel%C3%A1sticas%2Benrollablesserie%2B4545&amp;qid=1717077668&amp;sprefix=%2Caps%2C112&amp;sr=8-1&amp;th=1</t>
  </si>
  <si>
    <t>https://www.amazon.com/Arandela-bloqueo-dividido-resorte-inoxidable/dp/B0C1YV7MJ2/ref=sr_1_2_sspa?__mk_es_US=%C3%85M%C3%85%C5%BD%C3%95%C3%91&amp;crid=2ES8OR21J0P2G&amp;dib=eyJ2IjoiMSJ9.Y9V9_VWIiOj2ir9iY65OSSPXrwJIPWgVkdKB34op7y4LpbJRysjs3fOOriCA5NxCeVsxlYZ1ex_jlgjAKmCptXNVy7o-sjmrh1y7mNouUJfkH-aNx_q-Ii3rLjz471IERRv82FoBVfBJ1An32LBJl_QRK5AcKB2GqjNjk8pVWiMg3ks3-vajeOVFgpUSHy8L_ousREyFRC2VxSkMSRtBOnvq2a2zL9M748ALUS5iaNM.SscvEE9BZXCfeyJS-7ac-d5KlZOtS1Al-PXp6IO7-Ag&amp;dib_tag=se&amp;keywords=HELIFOUNER%2Barandelas%2Bde%2Bbloqueo%2Bm8&amp;qid=1717160857&amp;sprefix=helifouner%2Barandelas%2Bde%2Bbloqueo%2Bm8%2Caps%2C221&amp;sr=8-2-spons&amp;sp_csd=d2lkZ2V0TmFtZT1zcF9hdGY&amp;th=1</t>
  </si>
  <si>
    <t>50 tuercas cabeza de martillo 4545.</t>
  </si>
  <si>
    <t>https://www.amazon.com/-/es/Verkelly-arandelas-guardabarros-inoxidable-pulgadas/dp/B0DPMN69CZ/ref=sr_1_3?__mk_es_US=%C3%85M%C3%85%C5%BD%C3%95%C3%91&amp;crid=J86430O6Q4H9&amp;dib=eyJ2IjoiMSJ9.H5zrqC2_3cEg-aUIX6Ff8tEApvECu1E5yZAjj8swlSLtNmc9x2i1ReCFOI-xFiz3k7jYVokg_yKHu7TbBaKahYKom-QIrmkyIpknm7spFcYxZjW62xCRddMNTCelv7HUEOnsM72cROKfQW1lv_VFs3dD0FgMYCwEQHIFTPGd9Tw6YFdzJaGVNidiN_KYO0vNow9_z1d-v05KrjADQp-u-qEcKsA5ev-4Bn1G2P6XgYk.TumRziSeN7ij8EEs7r1_hOqWndIY9mxlDIl7OSiIuMo&amp;dib_tag=se&amp;keywords=arandela%2Bm8%2Binox%2Bpack%2Bx%2B100&amp;qid=1751642994&amp;sprefix=arandela%2Bm8%2Binox%2Bpack%2Bx%2B100%2Caps%2C142&amp;sr=8-3&amp;th=1</t>
  </si>
  <si>
    <t>100 arandelas de guardabarros M8 x 0.787 in</t>
  </si>
  <si>
    <t>VERKELLY</t>
  </si>
  <si>
    <t>https://www.amazon.com/-/es/escudillas-interior-soportes-extrusi%C3%B3n-aluminio/dp/B09G6JRCBW/ref=sr_1_3?__mk_es_US=%C3%85M%C3%85%C5%BD%C3%95%C3%91&amp;crid=29ZJNRD4X6AKD&amp;dib=eyJ2IjoiMSJ9.LDyTWQ8j-O_38oEssfTSOeRP57yFhBVcvPkLg6LmPyOlvnayyic2hcLgnT2TggcDn_8pnIzTYgU_TM31HvyQQyhHayFBSW61HH0vZuLHXaelCfJFmHrX0LwZ8_VdlxI3nqV-bWXX1fTJYTLKpTdaD3JbhpJrWuuYPW3WOj1MOuq3MOgTMmPlaQmxUFILH7uz52c3U-8o8fnbM6Hqet_K8NtYR68tTrn2odxU4VG7OBo.M_VJVjPWwE8D4jtNtL1dqDF_iKyTMIrr9v-yNJnv3kw&amp;dib_tag=se&amp;keywords=juego%2Bde%2B6%2Bescuadras%2C%2Bconector%2Bde%2B%C3%A1ngulo%2B4080%2Bpara%2Bperfil%2Bde%2Baluminio%2BQJAIUNE&amp;qid=1751644366&amp;sprefix=juego%2Bde%2B6%2Bescuadras%2C%2Bconector%2Bde%2B%C3%A1ngulo%2B4080%2Bpara%2Bperfil%2Bde%2Baluminio%2Bqjaiune%2Caps%2C115&amp;sr=8-3&amp;th=1</t>
  </si>
  <si>
    <t>6 escudillas de soporte de esquina interior 4040, soportes de extrusión de aluminio plateado</t>
  </si>
  <si>
    <t>QJAJUNE</t>
  </si>
  <si>
    <t xml:space="preserve">Total </t>
  </si>
  <si>
    <t>Total USD</t>
  </si>
  <si>
    <t>PRECIO PESOS</t>
  </si>
  <si>
    <t xml:space="preserve">PROVEEDOR </t>
  </si>
  <si>
    <t xml:space="preserve">Micro </t>
  </si>
  <si>
    <t xml:space="preserve">Acrilico negro </t>
  </si>
  <si>
    <t>Central de acrilicos</t>
  </si>
  <si>
    <t xml:space="preserve">Ferrelectricos importados </t>
  </si>
  <si>
    <t>Tornilleria COT # 1691677</t>
  </si>
  <si>
    <t>Perfileria Aluminio 45x90 y accesorios COT  #S05114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</si>
</sst>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_-&quot;$&quot;\ * #,##0_-;\-&quot;$&quot;\ * #,##0_-;_-&quot;$&quot;\ * &quot;-&quot;??_-;_-@_-"/>
  </numFmts>
  <fonts count="10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F111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5" fontId="6" fillId="0" borderId="6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8" fillId="0" borderId="4" xfId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8" fillId="0" borderId="10" xfId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165" fontId="6" fillId="0" borderId="9" xfId="2" applyNumberFormat="1" applyFont="1" applyBorder="1" applyAlignment="1">
      <alignment vertical="center"/>
    </xf>
    <xf numFmtId="165" fontId="6" fillId="0" borderId="6" xfId="2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3B3D-BF07-40CD-BC83-DBBAF4ED723B}">
  <dimension ref="A1:I21"/>
  <sheetViews>
    <sheetView zoomScale="80" zoomScaleNormal="80" workbookViewId="0">
      <selection activeCell="D5" sqref="D5"/>
    </sheetView>
  </sheetViews>
  <sheetFormatPr baseColWidth="10" defaultRowHeight="15" x14ac:dyDescent="0.25"/>
  <cols>
    <col min="1" max="1" width="8.42578125" style="5" customWidth="1"/>
    <col min="2" max="2" width="64.7109375" customWidth="1"/>
    <col min="3" max="3" width="11.7109375" customWidth="1"/>
    <col min="4" max="4" width="14.85546875" customWidth="1"/>
    <col min="5" max="5" width="7.7109375" style="9" customWidth="1"/>
    <col min="6" max="6" width="12.140625" customWidth="1"/>
    <col min="7" max="8" width="10.42578125" customWidth="1"/>
    <col min="9" max="9" width="13.7109375" bestFit="1" customWidth="1"/>
    <col min="10" max="10" width="24" customWidth="1"/>
    <col min="12" max="12" width="21.85546875" customWidth="1"/>
  </cols>
  <sheetData>
    <row r="1" spans="1:9" ht="15.75" thickBot="1" x14ac:dyDescent="0.3">
      <c r="A1" s="11"/>
      <c r="B1" s="12"/>
      <c r="C1" s="12"/>
      <c r="D1" s="12"/>
      <c r="E1" s="13"/>
      <c r="F1" s="12"/>
      <c r="G1" s="12"/>
      <c r="H1" s="12"/>
    </row>
    <row r="2" spans="1:9" s="3" customFormat="1" ht="60" customHeight="1" x14ac:dyDescent="0.25">
      <c r="A2" s="14" t="s">
        <v>0</v>
      </c>
      <c r="B2" s="14" t="s">
        <v>1</v>
      </c>
      <c r="C2" s="15" t="s">
        <v>5</v>
      </c>
      <c r="D2" s="14" t="s">
        <v>2</v>
      </c>
      <c r="E2" s="14" t="s">
        <v>3</v>
      </c>
      <c r="F2" s="14" t="s">
        <v>4</v>
      </c>
      <c r="G2" s="14" t="s">
        <v>10</v>
      </c>
      <c r="H2" s="15" t="s">
        <v>11</v>
      </c>
    </row>
    <row r="3" spans="1:9" s="4" customFormat="1" ht="30" customHeight="1" x14ac:dyDescent="0.25">
      <c r="A3" s="16">
        <v>1</v>
      </c>
      <c r="B3" s="17" t="s">
        <v>21</v>
      </c>
      <c r="C3" s="26" t="s">
        <v>20</v>
      </c>
      <c r="D3" s="19" t="s">
        <v>7</v>
      </c>
      <c r="E3" s="20">
        <v>7</v>
      </c>
      <c r="F3" s="19" t="s">
        <v>22</v>
      </c>
      <c r="G3" s="19">
        <v>14.99</v>
      </c>
      <c r="H3" s="19">
        <f t="shared" ref="H3:H6" si="0">(E3*G3)</f>
        <v>104.93</v>
      </c>
    </row>
    <row r="4" spans="1:9" s="4" customFormat="1" ht="30" customHeight="1" x14ac:dyDescent="0.25">
      <c r="A4" s="16">
        <v>2</v>
      </c>
      <c r="B4" s="17" t="s">
        <v>16</v>
      </c>
      <c r="C4" s="18" t="s">
        <v>14</v>
      </c>
      <c r="D4" s="19" t="s">
        <v>8</v>
      </c>
      <c r="E4" s="20">
        <v>6</v>
      </c>
      <c r="F4" s="19" t="s">
        <v>6</v>
      </c>
      <c r="G4" s="19">
        <v>11.99</v>
      </c>
      <c r="H4" s="19">
        <f t="shared" si="0"/>
        <v>71.94</v>
      </c>
    </row>
    <row r="5" spans="1:9" s="4" customFormat="1" ht="30" customHeight="1" x14ac:dyDescent="0.25">
      <c r="A5" s="27">
        <v>3</v>
      </c>
      <c r="B5" s="28" t="s">
        <v>18</v>
      </c>
      <c r="C5" s="29" t="s">
        <v>17</v>
      </c>
      <c r="D5" s="28" t="s">
        <v>7</v>
      </c>
      <c r="E5" s="30">
        <v>3</v>
      </c>
      <c r="F5" s="28" t="s">
        <v>19</v>
      </c>
      <c r="G5" s="28">
        <v>7.99</v>
      </c>
      <c r="H5" s="19">
        <f t="shared" si="0"/>
        <v>23.97</v>
      </c>
    </row>
    <row r="6" spans="1:9" s="4" customFormat="1" ht="30" customHeight="1" thickBot="1" x14ac:dyDescent="0.3">
      <c r="A6" s="21">
        <v>4</v>
      </c>
      <c r="B6" s="22" t="s">
        <v>12</v>
      </c>
      <c r="C6" s="23" t="s">
        <v>15</v>
      </c>
      <c r="D6" s="24" t="s">
        <v>9</v>
      </c>
      <c r="E6" s="25">
        <v>3</v>
      </c>
      <c r="F6" s="24" t="s">
        <v>13</v>
      </c>
      <c r="G6" s="24">
        <v>6.99</v>
      </c>
      <c r="H6" s="19">
        <f t="shared" si="0"/>
        <v>20.97</v>
      </c>
    </row>
    <row r="7" spans="1:9" s="4" customFormat="1" ht="90" customHeight="1" x14ac:dyDescent="0.25">
      <c r="A7" s="6"/>
      <c r="E7" s="6"/>
      <c r="H7" s="4">
        <f>+SUM(H3:H6)</f>
        <v>221.81</v>
      </c>
      <c r="I7" s="4" t="s">
        <v>24</v>
      </c>
    </row>
    <row r="8" spans="1:9" s="4" customFormat="1" ht="90" customHeight="1" x14ac:dyDescent="0.25">
      <c r="A8" s="6"/>
      <c r="E8" s="6"/>
    </row>
    <row r="9" spans="1:9" s="4" customFormat="1" ht="90" customHeight="1" x14ac:dyDescent="0.25">
      <c r="A9" s="6"/>
      <c r="E9" s="6"/>
    </row>
    <row r="10" spans="1:9" s="4" customFormat="1" ht="90" customHeight="1" x14ac:dyDescent="0.25">
      <c r="A10" s="6"/>
      <c r="E10" s="6"/>
    </row>
    <row r="11" spans="1:9" s="1" customFormat="1" ht="90" customHeight="1" x14ac:dyDescent="0.25">
      <c r="A11" s="7"/>
      <c r="E11" s="6"/>
    </row>
    <row r="12" spans="1:9" s="1" customFormat="1" ht="90" customHeight="1" x14ac:dyDescent="0.25">
      <c r="A12" s="7"/>
      <c r="E12" s="6"/>
    </row>
    <row r="13" spans="1:9" s="1" customFormat="1" ht="90" customHeight="1" x14ac:dyDescent="0.25">
      <c r="A13" s="7"/>
      <c r="E13" s="6"/>
    </row>
    <row r="14" spans="1:9" s="1" customFormat="1" ht="90" customHeight="1" x14ac:dyDescent="0.25">
      <c r="A14" s="7"/>
      <c r="E14" s="6"/>
    </row>
    <row r="15" spans="1:9" s="1" customFormat="1" ht="90" customHeight="1" x14ac:dyDescent="0.25">
      <c r="A15" s="7"/>
      <c r="E15" s="6"/>
    </row>
    <row r="16" spans="1:9" s="2" customFormat="1" ht="90" customHeight="1" x14ac:dyDescent="0.3">
      <c r="A16" s="8"/>
      <c r="E16" s="10"/>
    </row>
    <row r="17" spans="1:5" s="2" customFormat="1" ht="90" customHeight="1" x14ac:dyDescent="0.3">
      <c r="A17" s="8"/>
      <c r="E17" s="10"/>
    </row>
    <row r="18" spans="1:5" ht="90" customHeight="1" x14ac:dyDescent="0.25"/>
    <row r="19" spans="1:5" ht="90" customHeight="1" x14ac:dyDescent="0.25"/>
    <row r="20" spans="1:5" ht="90" customHeight="1" x14ac:dyDescent="0.25"/>
    <row r="21" spans="1:5" ht="90" customHeight="1" x14ac:dyDescent="0.25"/>
  </sheetData>
  <phoneticPr fontId="3" type="noConversion"/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3907-F9EA-4444-BDD8-C9BFCEFAAA7B}">
  <dimension ref="A1:F21"/>
  <sheetViews>
    <sheetView tabSelected="1" zoomScale="80" zoomScaleNormal="80" workbookViewId="0">
      <selection activeCell="B4" sqref="B4"/>
    </sheetView>
  </sheetViews>
  <sheetFormatPr baseColWidth="10" defaultRowHeight="15" x14ac:dyDescent="0.25"/>
  <cols>
    <col min="1" max="1" width="8.42578125" style="5" customWidth="1"/>
    <col min="2" max="2" width="64.7109375" customWidth="1"/>
    <col min="3" max="3" width="24.140625" bestFit="1" customWidth="1"/>
    <col min="4" max="4" width="17.85546875" bestFit="1" customWidth="1"/>
    <col min="6" max="6" width="24" customWidth="1"/>
    <col min="8" max="8" width="21.85546875" customWidth="1"/>
  </cols>
  <sheetData>
    <row r="1" spans="1:6" ht="15.75" thickBot="1" x14ac:dyDescent="0.3">
      <c r="A1" s="11"/>
      <c r="B1" s="12"/>
      <c r="C1" s="12"/>
      <c r="D1" s="12"/>
    </row>
    <row r="2" spans="1:6" s="3" customFormat="1" ht="60" customHeight="1" x14ac:dyDescent="0.25">
      <c r="A2" s="14" t="s">
        <v>0</v>
      </c>
      <c r="B2" s="14" t="s">
        <v>1</v>
      </c>
      <c r="C2" s="14" t="s">
        <v>26</v>
      </c>
      <c r="D2" s="14" t="s">
        <v>25</v>
      </c>
    </row>
    <row r="3" spans="1:6" s="4" customFormat="1" ht="30" customHeight="1" x14ac:dyDescent="0.25">
      <c r="A3" s="16">
        <v>1</v>
      </c>
      <c r="B3" s="17" t="s">
        <v>32</v>
      </c>
      <c r="C3" s="19" t="s">
        <v>27</v>
      </c>
      <c r="D3" s="31">
        <v>5925528</v>
      </c>
    </row>
    <row r="4" spans="1:6" s="4" customFormat="1" ht="30" customHeight="1" x14ac:dyDescent="0.25">
      <c r="A4" s="16">
        <v>2</v>
      </c>
      <c r="B4" s="17" t="s">
        <v>28</v>
      </c>
      <c r="C4" s="19" t="s">
        <v>29</v>
      </c>
      <c r="D4" s="31">
        <v>2589824</v>
      </c>
    </row>
    <row r="5" spans="1:6" s="4" customFormat="1" ht="30" customHeight="1" x14ac:dyDescent="0.25">
      <c r="A5" s="27">
        <v>3</v>
      </c>
      <c r="B5" s="28" t="s">
        <v>31</v>
      </c>
      <c r="C5" s="28" t="s">
        <v>30</v>
      </c>
      <c r="D5" s="31">
        <v>247706</v>
      </c>
    </row>
    <row r="6" spans="1:6" s="4" customFormat="1" ht="30" customHeight="1" thickBot="1" x14ac:dyDescent="0.3">
      <c r="A6" s="21">
        <v>4</v>
      </c>
      <c r="B6" s="22"/>
      <c r="C6" s="24"/>
      <c r="D6" s="32"/>
    </row>
    <row r="7" spans="1:6" s="4" customFormat="1" ht="36.75" customHeight="1" x14ac:dyDescent="0.25">
      <c r="A7" s="6"/>
      <c r="C7" s="4" t="s">
        <v>23</v>
      </c>
      <c r="D7" s="33">
        <f>+SUM(D3:D5)</f>
        <v>8763058</v>
      </c>
      <c r="F7" s="33"/>
    </row>
    <row r="8" spans="1:6" s="4" customFormat="1" ht="90" customHeight="1" x14ac:dyDescent="0.25">
      <c r="A8" s="6"/>
    </row>
    <row r="9" spans="1:6" s="4" customFormat="1" ht="90" customHeight="1" x14ac:dyDescent="0.25">
      <c r="A9" s="6"/>
    </row>
    <row r="10" spans="1:6" s="4" customFormat="1" ht="90" customHeight="1" x14ac:dyDescent="0.25">
      <c r="A10" s="6"/>
    </row>
    <row r="11" spans="1:6" s="1" customFormat="1" ht="90" customHeight="1" x14ac:dyDescent="0.25">
      <c r="A11" s="7"/>
    </row>
    <row r="12" spans="1:6" s="1" customFormat="1" ht="90" customHeight="1" x14ac:dyDescent="0.25">
      <c r="A12" s="7"/>
    </row>
    <row r="13" spans="1:6" s="1" customFormat="1" ht="90" customHeight="1" x14ac:dyDescent="0.25">
      <c r="A13" s="7"/>
    </row>
    <row r="14" spans="1:6" s="1" customFormat="1" ht="90" customHeight="1" x14ac:dyDescent="0.25">
      <c r="A14" s="7"/>
    </row>
    <row r="15" spans="1:6" s="1" customFormat="1" ht="90" customHeight="1" x14ac:dyDescent="0.25">
      <c r="A15" s="7"/>
    </row>
    <row r="16" spans="1:6" s="2" customFormat="1" ht="90" customHeight="1" x14ac:dyDescent="0.3">
      <c r="A16" s="8"/>
    </row>
    <row r="17" spans="1:1" s="2" customFormat="1" ht="90" customHeight="1" x14ac:dyDescent="0.3">
      <c r="A17" s="8"/>
    </row>
    <row r="18" spans="1:1" ht="90" customHeight="1" x14ac:dyDescent="0.25"/>
    <row r="19" spans="1:1" ht="90" customHeight="1" x14ac:dyDescent="0.25"/>
    <row r="20" spans="1:1" ht="90" customHeight="1" x14ac:dyDescent="0.25"/>
    <row r="21" spans="1:1" ht="90" customHeight="1" x14ac:dyDescent="0.25"/>
  </sheetData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64A463DB4A6746A61A440EB21615E2" ma:contentTypeVersion="16" ma:contentTypeDescription="Crear nuevo documento." ma:contentTypeScope="" ma:versionID="95be1a1ea9caa9f514f87a58b67ff9c3">
  <xsd:schema xmlns:xsd="http://www.w3.org/2001/XMLSchema" xmlns:xs="http://www.w3.org/2001/XMLSchema" xmlns:p="http://schemas.microsoft.com/office/2006/metadata/properties" xmlns:ns3="443df26a-27e8-475b-951a-f730267f947a" xmlns:ns4="7c1e9d74-a0c9-4fbb-ae87-17b041eca687" targetNamespace="http://schemas.microsoft.com/office/2006/metadata/properties" ma:root="true" ma:fieldsID="6a0b6b3ff7bf4bb3f796c63564c5b8bf" ns3:_="" ns4:_="">
    <xsd:import namespace="443df26a-27e8-475b-951a-f730267f947a"/>
    <xsd:import namespace="7c1e9d74-a0c9-4fbb-ae87-17b041eca6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df26a-27e8-475b-951a-f730267f94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e9d74-a0c9-4fbb-ae87-17b041eca6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3df26a-27e8-475b-951a-f730267f94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545A21-A69E-447D-A874-27477947F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df26a-27e8-475b-951a-f730267f947a"/>
    <ds:schemaRef ds:uri="7c1e9d74-a0c9-4fbb-ae87-17b041eca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E720BC-EAA4-4F92-9170-4148E9F95EF4}">
  <ds:schemaRefs>
    <ds:schemaRef ds:uri="443df26a-27e8-475b-951a-f730267f947a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7c1e9d74-a0c9-4fbb-ae87-17b041eca687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2FD993D-B440-40C3-B6CA-439E885E5A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Amazon </vt:lpstr>
      <vt:lpstr>Compras nacionales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Gomez Chimbi</dc:creator>
  <cp:lastModifiedBy>Jonathan David Castellanos Quevedo</cp:lastModifiedBy>
  <cp:lastPrinted>2024-05-31T19:44:44Z</cp:lastPrinted>
  <dcterms:created xsi:type="dcterms:W3CDTF">2024-05-28T16:26:48Z</dcterms:created>
  <dcterms:modified xsi:type="dcterms:W3CDTF">2025-07-04T20:54:23Z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0x0101003364A463DB4A6746A61A440EB21615E2</vt:lpwstr>
  </property>
</Properties>
</file>